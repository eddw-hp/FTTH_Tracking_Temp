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ina.lin\Desktop\專案\光化大樓追蹤模板\"/>
    </mc:Choice>
  </mc:AlternateContent>
  <xr:revisionPtr revIDLastSave="0" documentId="13_ncr:1_{3D475FB9-5F2E-4391-BF20-135F73695ADF}" xr6:coauthVersionLast="47" xr6:coauthVersionMax="47" xr10:uidLastSave="{00000000-0000-0000-0000-000000000000}"/>
  <bookViews>
    <workbookView xWindow="-20610" yWindow="-120" windowWidth="20730" windowHeight="11040" activeTab="2" xr2:uid="{ACD425D4-52AE-4953-9968-D177CEE1A5F4}"/>
  </bookViews>
  <sheets>
    <sheet name="總表" sheetId="1" r:id="rId1"/>
    <sheet name="#8 施工中" sheetId="2" r:id="rId2"/>
    <sheet name="應完成" sheetId="3" r:id="rId3"/>
    <sheet name="未完成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8" i="1" l="1"/>
  <c r="P7" i="1"/>
  <c r="P6" i="1"/>
  <c r="P5" i="1"/>
  <c r="K8" i="1"/>
  <c r="K7" i="1"/>
  <c r="K6" i="1"/>
  <c r="K5" i="1"/>
  <c r="F6" i="1"/>
  <c r="F7" i="1"/>
  <c r="F8" i="1"/>
  <c r="F5" i="1"/>
</calcChain>
</file>

<file path=xl/sharedStrings.xml><?xml version="1.0" encoding="utf-8"?>
<sst xmlns="http://schemas.openxmlformats.org/spreadsheetml/2006/main" count="100" uniqueCount="44">
  <si>
    <t>資料截至 2026/03/12</t>
    <phoneticPr fontId="2" type="noConversion"/>
  </si>
  <si>
    <t>全區</t>
    <phoneticPr fontId="2" type="noConversion"/>
  </si>
  <si>
    <t>預計</t>
    <phoneticPr fontId="2" type="noConversion"/>
  </si>
  <si>
    <t>已完成</t>
    <phoneticPr fontId="2" type="noConversion"/>
  </si>
  <si>
    <t>棟數</t>
    <phoneticPr fontId="2" type="noConversion"/>
  </si>
  <si>
    <t>戶數</t>
    <phoneticPr fontId="2" type="noConversion"/>
  </si>
  <si>
    <t>3月</t>
    <phoneticPr fontId="2" type="noConversion"/>
  </si>
  <si>
    <t>4月</t>
    <phoneticPr fontId="2" type="noConversion"/>
  </si>
  <si>
    <t>5月</t>
    <phoneticPr fontId="2" type="noConversion"/>
  </si>
  <si>
    <t>完成率</t>
    <phoneticPr fontId="2" type="noConversion"/>
  </si>
  <si>
    <t>北一</t>
    <phoneticPr fontId="2" type="noConversion"/>
  </si>
  <si>
    <t>北二</t>
    <phoneticPr fontId="2" type="noConversion"/>
  </si>
  <si>
    <t>南區</t>
    <phoneticPr fontId="2" type="noConversion"/>
  </si>
  <si>
    <t>地區</t>
    <phoneticPr fontId="2" type="noConversion"/>
  </si>
  <si>
    <t>6月</t>
    <phoneticPr fontId="2" type="noConversion"/>
  </si>
  <si>
    <t>&lt;註&gt; 藍色底線: 點擊後顯示清單</t>
    <phoneticPr fontId="2" type="noConversion"/>
  </si>
  <si>
    <t>(下拉式選單) 應完成月份</t>
    <phoneticPr fontId="2" type="noConversion"/>
  </si>
  <si>
    <t>(下拉式選單) 平台</t>
    <phoneticPr fontId="2" type="noConversion"/>
  </si>
  <si>
    <t>3月</t>
    <phoneticPr fontId="2" type="noConversion"/>
  </si>
  <si>
    <t>全區</t>
    <phoneticPr fontId="2" type="noConversion"/>
  </si>
  <si>
    <t>項次</t>
  </si>
  <si>
    <t>平台</t>
  </si>
  <si>
    <t>SO</t>
  </si>
  <si>
    <t>行政區</t>
  </si>
  <si>
    <t>大樓</t>
  </si>
  <si>
    <t>戶數</t>
  </si>
  <si>
    <t>升級月</t>
  </si>
  <si>
    <t>完工日期</t>
  </si>
  <si>
    <t>完工年月</t>
  </si>
  <si>
    <t>執行中單位</t>
  </si>
  <si>
    <t>承辦人</t>
  </si>
  <si>
    <t>進度</t>
  </si>
  <si>
    <t>備註說明</t>
  </si>
  <si>
    <t>範例</t>
  </si>
  <si>
    <t>N1</t>
  </si>
  <si>
    <t>中山區</t>
  </si>
  <si>
    <t>XXX</t>
  </si>
  <si>
    <t>3/15/2026</t>
  </si>
  <si>
    <t>台北業務四部</t>
  </si>
  <si>
    <t>王小明</t>
  </si>
  <si>
    <t>5.待簽進線同意書</t>
  </si>
  <si>
    <t>同意書待用印</t>
  </si>
  <si>
    <t>5.待簽進線同意書</t>
    <phoneticPr fontId="2" type="noConversion"/>
  </si>
  <si>
    <t>同意書待用印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</si>
</sst>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u/>
      <sz val="12"/>
      <color rgb="FF0000FF"/>
      <name val="微軟正黑體"/>
      <family val="2"/>
      <charset val="136"/>
    </font>
    <font>
      <i/>
      <u/>
      <sz val="11"/>
      <color rgb="FF0000FF"/>
      <name val="微軟正黑體"/>
      <family val="2"/>
      <charset val="136"/>
    </font>
    <font>
      <sz val="10"/>
      <color theme="1"/>
      <name val="Times New Roman"/>
      <family val="1"/>
    </font>
    <font>
      <b/>
      <sz val="12"/>
      <color rgb="FFFFFFFF"/>
      <name val="微軟正黑體"/>
      <family val="2"/>
      <charset val="136"/>
    </font>
    <font>
      <sz val="12"/>
      <color rgb="FFFFFFFF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2"/>
      <color rgb="FF000000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7F7F7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4" fillId="0" borderId="0" xfId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vertical="center" wrapText="1"/>
    </xf>
    <xf numFmtId="0" fontId="11" fillId="7" borderId="8" xfId="0" applyFont="1" applyFill="1" applyBorder="1" applyAlignment="1">
      <alignment vertical="center" wrapText="1"/>
    </xf>
    <xf numFmtId="0" fontId="11" fillId="7" borderId="8" xfId="0" applyFont="1" applyFill="1" applyBorder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92E7-4FAF-4356-A97B-5C46450F7C84}">
  <dimension ref="A1:P11"/>
  <sheetViews>
    <sheetView zoomScale="97" workbookViewId="0">
      <selection activeCell="D9" sqref="D9"/>
    </sheetView>
  </sheetViews>
  <sheetFormatPr defaultRowHeight="15.75" x14ac:dyDescent="0.25"/>
  <cols>
    <col min="1" max="1" width="9" style="2"/>
    <col min="2" max="2" width="12.75" style="2" customWidth="1"/>
    <col min="3" max="16384" width="9" style="2"/>
  </cols>
  <sheetData>
    <row r="1" spans="1:16" ht="16.5" x14ac:dyDescent="0.25">
      <c r="A1" s="13" t="s">
        <v>0</v>
      </c>
      <c r="B1" s="13"/>
    </row>
    <row r="2" spans="1:16" ht="16.5" x14ac:dyDescent="0.25">
      <c r="A2" s="9" t="s">
        <v>13</v>
      </c>
      <c r="B2" s="12" t="s">
        <v>6</v>
      </c>
      <c r="C2" s="12"/>
      <c r="D2" s="12"/>
      <c r="E2" s="12"/>
      <c r="F2" s="12"/>
      <c r="G2" s="12" t="s">
        <v>7</v>
      </c>
      <c r="H2" s="12"/>
      <c r="I2" s="12"/>
      <c r="J2" s="12"/>
      <c r="K2" s="12"/>
      <c r="L2" s="12" t="s">
        <v>8</v>
      </c>
      <c r="M2" s="12"/>
      <c r="N2" s="12"/>
      <c r="O2" s="12"/>
      <c r="P2" s="12"/>
    </row>
    <row r="3" spans="1:16" ht="16.5" x14ac:dyDescent="0.25">
      <c r="A3" s="10"/>
      <c r="B3" s="12" t="s">
        <v>2</v>
      </c>
      <c r="C3" s="12"/>
      <c r="D3" s="12" t="s">
        <v>3</v>
      </c>
      <c r="E3" s="12"/>
      <c r="F3" s="12"/>
      <c r="G3" s="12" t="s">
        <v>2</v>
      </c>
      <c r="H3" s="12"/>
      <c r="I3" s="12" t="s">
        <v>3</v>
      </c>
      <c r="J3" s="12"/>
      <c r="K3" s="12"/>
      <c r="L3" s="12" t="s">
        <v>2</v>
      </c>
      <c r="M3" s="12"/>
      <c r="N3" s="12" t="s">
        <v>3</v>
      </c>
      <c r="O3" s="12"/>
      <c r="P3" s="12"/>
    </row>
    <row r="4" spans="1:16" ht="16.5" customHeight="1" x14ac:dyDescent="0.25">
      <c r="A4" s="11"/>
      <c r="B4" s="4" t="s">
        <v>4</v>
      </c>
      <c r="C4" s="4" t="s">
        <v>5</v>
      </c>
      <c r="D4" s="4" t="s">
        <v>4</v>
      </c>
      <c r="E4" s="4" t="s">
        <v>5</v>
      </c>
      <c r="F4" s="4" t="s">
        <v>9</v>
      </c>
      <c r="G4" s="4" t="s">
        <v>4</v>
      </c>
      <c r="H4" s="4" t="s">
        <v>5</v>
      </c>
      <c r="I4" s="4" t="s">
        <v>4</v>
      </c>
      <c r="J4" s="4" t="s">
        <v>5</v>
      </c>
      <c r="K4" s="4" t="s">
        <v>9</v>
      </c>
      <c r="L4" s="4" t="s">
        <v>4</v>
      </c>
      <c r="M4" s="4" t="s">
        <v>5</v>
      </c>
      <c r="N4" s="4" t="s">
        <v>4</v>
      </c>
      <c r="O4" s="4" t="s">
        <v>5</v>
      </c>
      <c r="P4" s="4" t="s">
        <v>9</v>
      </c>
    </row>
    <row r="5" spans="1:16" ht="15.75" customHeight="1" x14ac:dyDescent="0.25">
      <c r="A5" s="4" t="s">
        <v>1</v>
      </c>
      <c r="B5" s="5">
        <v>100</v>
      </c>
      <c r="C5" s="5">
        <v>10000</v>
      </c>
      <c r="D5" s="5">
        <v>80</v>
      </c>
      <c r="E5" s="5">
        <v>8000</v>
      </c>
      <c r="F5" s="6">
        <f>E5/C5</f>
        <v>0.8</v>
      </c>
      <c r="G5" s="5">
        <v>100</v>
      </c>
      <c r="H5" s="5">
        <v>10000</v>
      </c>
      <c r="I5" s="5">
        <v>80</v>
      </c>
      <c r="J5" s="5">
        <v>8000</v>
      </c>
      <c r="K5" s="6">
        <f>J5/H5</f>
        <v>0.8</v>
      </c>
      <c r="L5" s="5">
        <v>100</v>
      </c>
      <c r="M5" s="5">
        <v>10000</v>
      </c>
      <c r="N5" s="5">
        <v>80</v>
      </c>
      <c r="O5" s="5">
        <v>8000</v>
      </c>
      <c r="P5" s="6">
        <f>O5/M5</f>
        <v>0.8</v>
      </c>
    </row>
    <row r="6" spans="1:16" ht="15.75" customHeight="1" x14ac:dyDescent="0.25">
      <c r="A6" s="4" t="s">
        <v>10</v>
      </c>
      <c r="B6" s="5">
        <v>25</v>
      </c>
      <c r="C6" s="5">
        <v>2500</v>
      </c>
      <c r="D6" s="5">
        <v>10</v>
      </c>
      <c r="E6" s="5">
        <v>1000</v>
      </c>
      <c r="F6" s="6">
        <f>E6/C6</f>
        <v>0.4</v>
      </c>
      <c r="G6" s="5">
        <v>25</v>
      </c>
      <c r="H6" s="5">
        <v>2500</v>
      </c>
      <c r="I6" s="5">
        <v>10</v>
      </c>
      <c r="J6" s="5">
        <v>1000</v>
      </c>
      <c r="K6" s="6">
        <f>J6/H6</f>
        <v>0.4</v>
      </c>
      <c r="L6" s="5">
        <v>25</v>
      </c>
      <c r="M6" s="5">
        <v>2500</v>
      </c>
      <c r="N6" s="5">
        <v>10</v>
      </c>
      <c r="O6" s="5">
        <v>1000</v>
      </c>
      <c r="P6" s="6">
        <f>O6/M6</f>
        <v>0.4</v>
      </c>
    </row>
    <row r="7" spans="1:16" ht="15.75" customHeight="1" x14ac:dyDescent="0.25">
      <c r="A7" s="4" t="s">
        <v>11</v>
      </c>
      <c r="B7" s="5">
        <v>25</v>
      </c>
      <c r="C7" s="5">
        <v>2500</v>
      </c>
      <c r="D7" s="5">
        <v>15</v>
      </c>
      <c r="E7" s="5">
        <v>1500</v>
      </c>
      <c r="F7" s="6">
        <f t="shared" ref="F7:F8" si="0">E7/C7</f>
        <v>0.6</v>
      </c>
      <c r="G7" s="5">
        <v>25</v>
      </c>
      <c r="H7" s="5">
        <v>2500</v>
      </c>
      <c r="I7" s="5">
        <v>15</v>
      </c>
      <c r="J7" s="5">
        <v>1500</v>
      </c>
      <c r="K7" s="6">
        <f t="shared" ref="K7:K8" si="1">J7/H7</f>
        <v>0.6</v>
      </c>
      <c r="L7" s="5">
        <v>25</v>
      </c>
      <c r="M7" s="5">
        <v>2500</v>
      </c>
      <c r="N7" s="5">
        <v>15</v>
      </c>
      <c r="O7" s="5">
        <v>1500</v>
      </c>
      <c r="P7" s="6">
        <f t="shared" ref="P7:P8" si="2">O7/M7</f>
        <v>0.6</v>
      </c>
    </row>
    <row r="8" spans="1:16" ht="15.75" customHeight="1" x14ac:dyDescent="0.25">
      <c r="A8" s="4" t="s">
        <v>12</v>
      </c>
      <c r="B8" s="5">
        <v>50</v>
      </c>
      <c r="C8" s="5">
        <v>5000</v>
      </c>
      <c r="D8" s="5">
        <v>40</v>
      </c>
      <c r="E8" s="5">
        <v>4000</v>
      </c>
      <c r="F8" s="6">
        <f t="shared" si="0"/>
        <v>0.8</v>
      </c>
      <c r="G8" s="5">
        <v>50</v>
      </c>
      <c r="H8" s="5">
        <v>5000</v>
      </c>
      <c r="I8" s="5">
        <v>40</v>
      </c>
      <c r="J8" s="5">
        <v>4000</v>
      </c>
      <c r="K8" s="6">
        <f t="shared" si="1"/>
        <v>0.8</v>
      </c>
      <c r="L8" s="5">
        <v>50</v>
      </c>
      <c r="M8" s="5">
        <v>5000</v>
      </c>
      <c r="N8" s="5">
        <v>40</v>
      </c>
      <c r="O8" s="5">
        <v>4000</v>
      </c>
      <c r="P8" s="6">
        <f t="shared" si="2"/>
        <v>0.8</v>
      </c>
    </row>
    <row r="9" spans="1:16" ht="15.75" customHeight="1" x14ac:dyDescent="0.25">
      <c r="A9" s="1"/>
      <c r="F9" s="3"/>
      <c r="K9" s="3"/>
      <c r="P9" s="3"/>
    </row>
    <row r="10" spans="1:16" ht="15.75" customHeight="1" x14ac:dyDescent="0.25"/>
    <row r="11" spans="1:16" ht="15.75" customHeight="1" x14ac:dyDescent="0.25">
      <c r="A11" s="1"/>
      <c r="F11" s="3"/>
      <c r="K11" s="3"/>
      <c r="P11" s="3"/>
    </row>
  </sheetData>
  <mergeCells count="11">
    <mergeCell ref="A1:B1"/>
    <mergeCell ref="B3:C3"/>
    <mergeCell ref="D3:F3"/>
    <mergeCell ref="B2:F2"/>
    <mergeCell ref="G3:H3"/>
    <mergeCell ref="A2:A4"/>
    <mergeCell ref="G2:K2"/>
    <mergeCell ref="I3:K3"/>
    <mergeCell ref="L2:P2"/>
    <mergeCell ref="L3:M3"/>
    <mergeCell ref="N3:P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6E872-A6B2-40E1-8950-A3D9F5B1C919}">
  <dimension ref="A1:I8"/>
  <sheetViews>
    <sheetView zoomScale="157" workbookViewId="0">
      <selection activeCell="C7" sqref="C7"/>
    </sheetView>
  </sheetViews>
  <sheetFormatPr defaultRowHeight="16.5" x14ac:dyDescent="0.25"/>
  <sheetData>
    <row r="1" spans="1:9" x14ac:dyDescent="0.25">
      <c r="A1" s="9" t="s">
        <v>13</v>
      </c>
      <c r="B1" s="12" t="s">
        <v>6</v>
      </c>
      <c r="C1" s="12"/>
      <c r="D1" s="12" t="s">
        <v>7</v>
      </c>
      <c r="E1" s="12"/>
      <c r="F1" s="12" t="s">
        <v>8</v>
      </c>
      <c r="G1" s="12"/>
      <c r="H1" s="12" t="s">
        <v>14</v>
      </c>
      <c r="I1" s="12"/>
    </row>
    <row r="2" spans="1:9" x14ac:dyDescent="0.25">
      <c r="A2" s="11"/>
      <c r="B2" s="4" t="s">
        <v>4</v>
      </c>
      <c r="C2" s="4" t="s">
        <v>5</v>
      </c>
      <c r="D2" s="4" t="s">
        <v>4</v>
      </c>
      <c r="E2" s="4" t="s">
        <v>5</v>
      </c>
      <c r="F2" s="4" t="s">
        <v>4</v>
      </c>
      <c r="G2" s="4" t="s">
        <v>5</v>
      </c>
      <c r="H2" s="4" t="s">
        <v>4</v>
      </c>
      <c r="I2" s="4" t="s">
        <v>5</v>
      </c>
    </row>
    <row r="3" spans="1:9" x14ac:dyDescent="0.25">
      <c r="A3" s="4" t="s">
        <v>1</v>
      </c>
      <c r="B3" s="7">
        <v>100</v>
      </c>
      <c r="C3" s="5">
        <v>10000</v>
      </c>
      <c r="D3" s="7">
        <v>100</v>
      </c>
      <c r="E3" s="5">
        <v>10000</v>
      </c>
      <c r="F3" s="7">
        <v>100</v>
      </c>
      <c r="G3" s="5">
        <v>10000</v>
      </c>
      <c r="H3" s="7">
        <v>100</v>
      </c>
      <c r="I3" s="5">
        <v>10000</v>
      </c>
    </row>
    <row r="4" spans="1:9" x14ac:dyDescent="0.25">
      <c r="A4" s="4" t="s">
        <v>10</v>
      </c>
      <c r="B4" s="7">
        <v>25</v>
      </c>
      <c r="C4" s="5">
        <v>2500</v>
      </c>
      <c r="D4" s="7">
        <v>25</v>
      </c>
      <c r="E4" s="5">
        <v>2500</v>
      </c>
      <c r="F4" s="7">
        <v>25</v>
      </c>
      <c r="G4" s="5">
        <v>2500</v>
      </c>
      <c r="H4" s="7">
        <v>25</v>
      </c>
      <c r="I4" s="5">
        <v>2500</v>
      </c>
    </row>
    <row r="5" spans="1:9" x14ac:dyDescent="0.25">
      <c r="A5" s="4" t="s">
        <v>11</v>
      </c>
      <c r="B5" s="7">
        <v>25</v>
      </c>
      <c r="C5" s="5">
        <v>2500</v>
      </c>
      <c r="D5" s="7">
        <v>25</v>
      </c>
      <c r="E5" s="5">
        <v>2500</v>
      </c>
      <c r="F5" s="7">
        <v>25</v>
      </c>
      <c r="G5" s="5">
        <v>2500</v>
      </c>
      <c r="H5" s="7">
        <v>25</v>
      </c>
      <c r="I5" s="5">
        <v>2500</v>
      </c>
    </row>
    <row r="6" spans="1:9" x14ac:dyDescent="0.25">
      <c r="A6" s="4" t="s">
        <v>12</v>
      </c>
      <c r="B6" s="7">
        <v>50</v>
      </c>
      <c r="C6" s="5">
        <v>5000</v>
      </c>
      <c r="D6" s="7">
        <v>50</v>
      </c>
      <c r="E6" s="5">
        <v>5000</v>
      </c>
      <c r="F6" s="7">
        <v>50</v>
      </c>
      <c r="G6" s="5">
        <v>5000</v>
      </c>
      <c r="H6" s="7">
        <v>50</v>
      </c>
      <c r="I6" s="5">
        <v>5000</v>
      </c>
    </row>
    <row r="8" spans="1:9" x14ac:dyDescent="0.25">
      <c r="A8" s="8" t="s">
        <v>15</v>
      </c>
    </row>
  </sheetData>
  <mergeCells count="5">
    <mergeCell ref="D1:E1"/>
    <mergeCell ref="F1:G1"/>
    <mergeCell ref="H1:I1"/>
    <mergeCell ref="A1:A2"/>
    <mergeCell ref="B1:C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C474-6114-4E72-A85C-4CF6AFB1CB74}">
  <dimension ref="A1:M3"/>
  <sheetViews>
    <sheetView tabSelected="1" zoomScale="111" workbookViewId="0"/>
  </sheetViews>
  <sheetFormatPr defaultRowHeight="15.75" x14ac:dyDescent="0.25"/>
  <cols>
    <col min="1" max="1" width="25.25" style="2" bestFit="1" customWidth="1"/>
    <col min="2" max="2" width="5" style="2" bestFit="1" customWidth="1"/>
    <col min="3" max="3" width="18.625" style="2" bestFit="1" customWidth="1"/>
    <col min="4" max="4" width="5.75" style="2" bestFit="1" customWidth="1"/>
    <col min="5" max="5" width="9" style="2"/>
    <col min="6" max="16384" width="9" style="14"/>
  </cols>
  <sheetData>
    <row r="1" spans="1:13" ht="17.25" thickBot="1" x14ac:dyDescent="0.3">
      <c r="A1" s="1" t="s">
        <v>16</v>
      </c>
      <c r="B1" s="1" t="s">
        <v>18</v>
      </c>
      <c r="C1" s="1" t="s">
        <v>17</v>
      </c>
      <c r="D1" s="1" t="s">
        <v>19</v>
      </c>
    </row>
    <row r="2" spans="1:13" ht="33.75" thickBot="1" x14ac:dyDescent="0.3">
      <c r="A2" s="15" t="s">
        <v>20</v>
      </c>
      <c r="B2" s="16" t="s">
        <v>21</v>
      </c>
      <c r="C2" s="16" t="s">
        <v>22</v>
      </c>
      <c r="D2" s="16" t="s">
        <v>23</v>
      </c>
      <c r="E2" s="17" t="s">
        <v>24</v>
      </c>
      <c r="F2" s="18" t="s">
        <v>25</v>
      </c>
      <c r="G2" s="19" t="s">
        <v>26</v>
      </c>
      <c r="H2" s="19" t="s">
        <v>27</v>
      </c>
      <c r="I2" s="20" t="s">
        <v>28</v>
      </c>
      <c r="J2" s="21" t="s">
        <v>29</v>
      </c>
      <c r="K2" s="21" t="s">
        <v>30</v>
      </c>
      <c r="L2" s="22" t="s">
        <v>31</v>
      </c>
      <c r="M2" s="23" t="s">
        <v>32</v>
      </c>
    </row>
    <row r="3" spans="1:13" ht="32.25" thickBot="1" x14ac:dyDescent="0.3">
      <c r="A3" s="24" t="s">
        <v>33</v>
      </c>
      <c r="B3" s="25" t="s">
        <v>34</v>
      </c>
      <c r="C3" s="26"/>
      <c r="D3" s="25" t="s">
        <v>35</v>
      </c>
      <c r="E3" s="27" t="s">
        <v>36</v>
      </c>
      <c r="F3" s="25">
        <v>123</v>
      </c>
      <c r="G3" s="25">
        <v>3</v>
      </c>
      <c r="H3" s="25" t="s">
        <v>37</v>
      </c>
      <c r="I3" s="25">
        <v>3</v>
      </c>
      <c r="J3" s="25" t="s">
        <v>38</v>
      </c>
      <c r="K3" s="25" t="s">
        <v>39</v>
      </c>
      <c r="L3" s="28" t="s">
        <v>42</v>
      </c>
      <c r="M3" s="27" t="s">
        <v>43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8D2E7-03AA-4CE6-904C-8234A256BED8}">
  <dimension ref="A1:M3"/>
  <sheetViews>
    <sheetView workbookViewId="0">
      <selection activeCell="E17" sqref="E17"/>
    </sheetView>
  </sheetViews>
  <sheetFormatPr defaultRowHeight="15.75" x14ac:dyDescent="0.25"/>
  <cols>
    <col min="1" max="1" width="25.25" style="2" bestFit="1" customWidth="1"/>
    <col min="2" max="2" width="5" style="2" bestFit="1" customWidth="1"/>
    <col min="3" max="3" width="18.625" style="2" bestFit="1" customWidth="1"/>
    <col min="4" max="4" width="5.75" style="2" bestFit="1" customWidth="1"/>
    <col min="5" max="5" width="9" style="2"/>
    <col min="6" max="16384" width="9" style="14"/>
  </cols>
  <sheetData>
    <row r="1" spans="1:13" ht="17.25" thickBot="1" x14ac:dyDescent="0.3">
      <c r="A1" s="1" t="s">
        <v>16</v>
      </c>
      <c r="B1" s="1" t="s">
        <v>18</v>
      </c>
      <c r="C1" s="1" t="s">
        <v>17</v>
      </c>
      <c r="D1" s="1" t="s">
        <v>19</v>
      </c>
    </row>
    <row r="2" spans="1:13" ht="33.75" thickBot="1" x14ac:dyDescent="0.3">
      <c r="A2" s="15" t="s">
        <v>20</v>
      </c>
      <c r="B2" s="16" t="s">
        <v>21</v>
      </c>
      <c r="C2" s="16" t="s">
        <v>22</v>
      </c>
      <c r="D2" s="16" t="s">
        <v>23</v>
      </c>
      <c r="E2" s="17" t="s">
        <v>24</v>
      </c>
      <c r="F2" s="18" t="s">
        <v>25</v>
      </c>
      <c r="G2" s="19" t="s">
        <v>26</v>
      </c>
      <c r="H2" s="19" t="s">
        <v>27</v>
      </c>
      <c r="I2" s="20" t="s">
        <v>28</v>
      </c>
      <c r="J2" s="21" t="s">
        <v>29</v>
      </c>
      <c r="K2" s="21" t="s">
        <v>30</v>
      </c>
      <c r="L2" s="22" t="s">
        <v>31</v>
      </c>
      <c r="M2" s="23" t="s">
        <v>32</v>
      </c>
    </row>
    <row r="3" spans="1:13" ht="32.25" thickBot="1" x14ac:dyDescent="0.3">
      <c r="A3" s="24" t="s">
        <v>33</v>
      </c>
      <c r="B3" s="25" t="s">
        <v>34</v>
      </c>
      <c r="C3" s="26"/>
      <c r="D3" s="25" t="s">
        <v>35</v>
      </c>
      <c r="E3" s="27" t="s">
        <v>36</v>
      </c>
      <c r="F3" s="25">
        <v>123</v>
      </c>
      <c r="G3" s="25">
        <v>3</v>
      </c>
      <c r="H3" s="25" t="s">
        <v>37</v>
      </c>
      <c r="I3" s="25">
        <v>3</v>
      </c>
      <c r="J3" s="25" t="s">
        <v>38</v>
      </c>
      <c r="K3" s="25" t="s">
        <v>39</v>
      </c>
      <c r="L3" s="28" t="s">
        <v>40</v>
      </c>
      <c r="M3" s="27" t="s">
        <v>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總表</vt:lpstr>
      <vt:lpstr>#8 施工中</vt:lpstr>
      <vt:lpstr>應完成</vt:lpstr>
      <vt:lpstr>未完成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Edwina Lin-林書婷</dc:creator>
  <cp:lastModifiedBy>Edwina Lin-林書婷</cp:lastModifiedBy>
  <dcterms:created xsi:type="dcterms:W3CDTF">2026-03-12T03:18:04Z</dcterms:created>
  <dcterms:modified xsi:type="dcterms:W3CDTF">2026-03-12T08:22:30Z</dcterms:modified>
</cp:coreProperties>
</file>